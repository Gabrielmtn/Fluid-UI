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Timeline" sheetId="2" state="visible" r:id="rId2"/>
    <sheet name="This Week" sheetId="3" state="visible" r:id="rId3"/>
    <sheet name="Master Plan" sheetId="4" state="visible" r:id="rId4"/>
    <sheet name="Workstreams" sheetId="5" state="visible" r:id="rId5"/>
    <sheet name="Wishlists" sheetId="6" state="visible" r:id="rId6"/>
    <sheet name="Decisions" sheetId="7" state="visible" r:id="rId7"/>
    <sheet name="Doc Cleanup" sheetId="8" state="visible" r:id="rId8"/>
  </sheets>
  <definedNames/>
  <calcPr calcId="124519" fullCalcOnLoad="1"/>
</workbook>
</file>

<file path=xl/styles.xml><?xml version="1.0" encoding="utf-8"?>
<styleSheet xmlns="http://schemas.openxmlformats.org/spreadsheetml/2006/main">
  <numFmts count="1">
    <numFmt numFmtId="164" formatCode="0&quot; days&quot;"/>
  </numFmts>
  <fonts count="8">
    <font>
      <name val="Calibri"/>
      <family val="2"/>
      <color theme="1"/>
      <sz val="11"/>
      <scheme val="minor"/>
    </font>
    <font>
      <name val="Arial"/>
      <b val="1"/>
      <sz val="14"/>
    </font>
    <font>
      <name val="Arial"/>
      <sz val="10"/>
    </font>
    <font>
      <name val="Arial"/>
      <b val="1"/>
      <color rgb="00C00000"/>
      <sz val="11"/>
    </font>
    <font>
      <name val="Arial"/>
      <b val="1"/>
      <sz val="10"/>
    </font>
    <font>
      <name val="Arial"/>
      <b val="1"/>
      <sz val="11"/>
    </font>
    <font>
      <name val="Arial"/>
      <b val="1"/>
      <color rgb="00FFFFFF"/>
      <sz val="10"/>
    </font>
    <font>
      <name val="Arial"/>
      <i val="1"/>
      <sz val="9"/>
    </font>
  </fonts>
  <fills count="7">
    <fill>
      <patternFill/>
    </fill>
    <fill>
      <patternFill patternType="gray125"/>
    </fill>
    <fill>
      <patternFill patternType="solid">
        <fgColor rgb="00F8CBAD"/>
      </patternFill>
    </fill>
    <fill>
      <patternFill patternType="solid">
        <fgColor rgb="001F3864"/>
      </patternFill>
    </fill>
    <fill>
      <patternFill patternType="solid">
        <fgColor rgb="00FFE699"/>
      </patternFill>
    </fill>
    <fill>
      <patternFill patternType="solid">
        <fgColor rgb="00C6EFCE"/>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5" fillId="0" borderId="0" pivotButton="0" quotePrefix="0" xfId="0"/>
    <xf numFmtId="0" fontId="6" fillId="3" borderId="1" pivotButton="0" quotePrefix="0" xfId="0"/>
    <xf numFmtId="0" fontId="2" fillId="0" borderId="1" pivotButton="0" quotePrefix="0" xfId="0"/>
    <xf numFmtId="164" fontId="4" fillId="0" borderId="1" pivotButton="0" quotePrefix="0" xfId="0"/>
    <xf numFmtId="0" fontId="7" fillId="0" borderId="0" applyAlignment="1" pivotButton="0" quotePrefix="0" xfId="0">
      <alignment vertical="top" wrapText="1"/>
    </xf>
    <xf numFmtId="0" fontId="4" fillId="0" borderId="0" pivotButton="0" quotePrefix="0" xfId="0"/>
    <xf numFmtId="0" fontId="2" fillId="2" borderId="1" pivotButton="0" quotePrefix="0" xfId="0"/>
    <xf numFmtId="0" fontId="2" fillId="4" borderId="1" pivotButton="0" quotePrefix="0" xfId="0"/>
    <xf numFmtId="0" fontId="2" fillId="5" borderId="1" pivotButton="0" quotePrefix="0" xfId="0"/>
    <xf numFmtId="0" fontId="2" fillId="6" borderId="1" pivotButton="0" quotePrefix="0" xfId="0"/>
    <xf numFmtId="0" fontId="6" fillId="3" borderId="1" applyAlignment="1" pivotButton="0" quotePrefix="0" xfId="0">
      <alignment horizontal="center" vertical="top" wrapText="1"/>
    </xf>
    <xf numFmtId="0" fontId="2" fillId="0" borderId="1" applyAlignment="1" pivotButton="0" quotePrefix="0" xfId="0">
      <alignment vertical="top" wrapText="1"/>
    </xf>
    <xf numFmtId="0" fontId="4" fillId="2" borderId="1" applyAlignment="1" pivotButton="0" quotePrefix="0" xfId="0">
      <alignment vertical="top" wrapText="1"/>
    </xf>
    <xf numFmtId="0" fontId="4" fillId="6" borderId="1" applyAlignment="1" pivotButton="0" quotePrefix="0" xfId="0">
      <alignment vertical="top" wrapText="1"/>
    </xf>
    <xf numFmtId="0" fontId="4" fillId="5" borderId="1" applyAlignment="1" pivotButton="0" quotePrefix="0" xfId="0">
      <alignment vertical="top" wrapText="1"/>
    </xf>
    <xf numFmtId="0" fontId="4" fillId="4" borderId="1" applyAlignment="1" pivotButton="0" quotePrefix="0" xfId="0">
      <alignment vertical="top" wrapText="1"/>
    </xf>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0000"/>
    <outlinePr summaryBelow="1" summaryRight="1"/>
    <pageSetUpPr/>
  </sheetPr>
  <dimension ref="A1:C22"/>
  <sheetViews>
    <sheetView workbookViewId="0">
      <selection activeCell="A1" sqref="A1"/>
    </sheetView>
  </sheetViews>
  <sheetFormatPr baseColWidth="8" defaultRowHeight="15"/>
  <cols>
    <col width="34" customWidth="1" min="1" max="1"/>
    <col width="16" customWidth="1" min="2" max="2"/>
    <col width="74" customWidth="1" min="3" max="3"/>
  </cols>
  <sheetData>
    <row r="1">
      <c r="A1" s="1" t="inlineStr">
        <is>
          <t>A SMALL GOOD THING — Next Fest tracker (built 2026-08-20)</t>
        </is>
      </c>
    </row>
    <row r="2">
      <c r="A2" s="2" t="inlineStr">
        <is>
          <t>Fest: Oct 19-26, 2026 (verified vs Valve's official page). Demo-first: the free stranger client IS the demo. Full launch after the fest. NAME: "Swirl Together" (pivoted 2026-08-20 from "A Small Good Thing").</t>
        </is>
      </c>
    </row>
    <row r="4">
      <c r="A4" s="3" t="inlineStr">
        <is>
          <t>THE ONE URGENT THING</t>
        </is>
      </c>
    </row>
    <row r="5" ht="45" customHeight="1">
      <c r="A5" s="4" t="inlineStr">
        <is>
          <t>Store page is NOT LIVE. Registration (Aug 31) requires a live approved page; Valve review = 3-5 business days and can bounce. Submit by Mon Aug 24 at the latest. STATUS: the 11 store assets are now REBUILT (2026-08-20). Still needed before submit: 5+ screenshots, store description copy, dashboard October opt-in check, then SUBMIT.</t>
        </is>
      </c>
    </row>
    <row r="7">
      <c r="A7" s="5" t="inlineStr">
        <is>
          <t>COUNTDOWNS</t>
        </is>
      </c>
    </row>
    <row r="8">
      <c r="A8" s="6" t="inlineStr">
        <is>
          <t>Gate</t>
        </is>
      </c>
      <c r="B8" s="6" t="inlineStr">
        <is>
          <t>Date</t>
        </is>
      </c>
      <c r="C8" s="6" t="inlineStr">
        <is>
          <t>Days left</t>
        </is>
      </c>
    </row>
    <row r="9">
      <c r="A9" s="7" t="inlineStr">
        <is>
          <t>Last-safe store page submit</t>
        </is>
      </c>
      <c r="B9" s="7" t="inlineStr">
        <is>
          <t>2026-08-24</t>
        </is>
      </c>
      <c r="C9" s="8">
        <f>DATE(2026,8,24)-TODAY()</f>
        <v/>
      </c>
    </row>
    <row r="10">
      <c r="A10" s="7" t="inlineStr">
        <is>
          <t>Registration deadline (11:59pm PDT)</t>
        </is>
      </c>
      <c r="B10" s="7" t="inlineStr">
        <is>
          <t>2026-08-31</t>
        </is>
      </c>
      <c r="C10" s="8">
        <f>DATE(2026,8,31)-TODAY()</f>
        <v/>
      </c>
    </row>
    <row r="11">
      <c r="A11" s="7" t="inlineStr">
        <is>
          <t>Trailer pulled for Valve compilation</t>
        </is>
      </c>
      <c r="B11" s="7" t="inlineStr">
        <is>
          <t>2026-09-07</t>
        </is>
      </c>
      <c r="C11" s="8">
        <f>DATE(2026,9,7)-TODAY()</f>
        <v/>
      </c>
    </row>
    <row r="12">
      <c r="A12" s="7" t="inlineStr">
        <is>
          <t>Demo + page in review (Press Preview)</t>
        </is>
      </c>
      <c r="B12" s="7" t="inlineStr">
        <is>
          <t>2026-09-21</t>
        </is>
      </c>
      <c r="C12" s="8">
        <f>DATE(2026,9,21)-TODAY()</f>
        <v/>
      </c>
    </row>
    <row r="13">
      <c r="A13" s="7" t="inlineStr">
        <is>
          <t>Fest starts</t>
        </is>
      </c>
      <c r="B13" s="7" t="inlineStr">
        <is>
          <t>2026-10-19</t>
        </is>
      </c>
      <c r="C13" s="8">
        <f>DATE(2026,10,19)-TODAY()</f>
        <v/>
      </c>
    </row>
    <row r="15">
      <c r="A15" s="9" t="inlineStr">
        <is>
          <t>Where the detail lives: REFACTOR-AUDIT.md section 9 (repo root) is the operative plan; this workbook is the working tracker. Sheet guide: Timeline = every dated gate; This Week = the store-page bundle; Master Plan = the full ordered sequence; Workstreams, Wishlists, Decisions, Doc Cleanup.</t>
        </is>
      </c>
    </row>
    <row r="16"/>
    <row r="18">
      <c r="A18" s="10" t="inlineStr">
        <is>
          <t>Status colors:</t>
        </is>
      </c>
    </row>
    <row r="19">
      <c r="A19" s="11" t="inlineStr">
        <is>
          <t>Blown / critical</t>
        </is>
      </c>
    </row>
    <row r="20">
      <c r="A20" s="12" t="inlineStr">
        <is>
          <t>Open / to do</t>
        </is>
      </c>
    </row>
    <row r="21">
      <c r="A21" s="13" t="inlineStr">
        <is>
          <t>Done / on track</t>
        </is>
      </c>
    </row>
    <row r="22">
      <c r="A22" s="14" t="inlineStr">
        <is>
          <t>Info / passed / later</t>
        </is>
      </c>
    </row>
  </sheetData>
  <mergeCells count="3">
    <mergeCell ref="A5:C5"/>
    <mergeCell ref="A15:C16"/>
    <mergeCell ref="A2:C2"/>
  </mergeCells>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0" customWidth="1" min="3" max="3"/>
    <col width="12" customWidth="1" min="4" max="4"/>
    <col width="52" customWidth="1" min="5" max="5"/>
  </cols>
  <sheetData>
    <row r="1">
      <c r="A1" s="15" t="inlineStr">
        <is>
          <t>Date</t>
        </is>
      </c>
      <c r="B1" s="15" t="inlineStr">
        <is>
          <t>Event</t>
        </is>
      </c>
      <c r="C1" s="15" t="inlineStr">
        <is>
          <t>What it gates</t>
        </is>
      </c>
      <c r="D1" s="15" t="inlineStr">
        <is>
          <t>Status</t>
        </is>
      </c>
      <c r="E1" s="15" t="inlineStr">
        <is>
          <t>Notes</t>
        </is>
      </c>
    </row>
    <row r="2">
      <c r="A2" s="16" t="inlineStr">
        <is>
          <t>Aug 17</t>
        </is>
      </c>
      <c r="B2" s="16" t="inlineStr">
        <is>
          <t>Store-page submit target (plan's own)</t>
        </is>
      </c>
      <c r="C2" s="16" t="inlineStr">
        <is>
          <t>Safe review margin</t>
        </is>
      </c>
      <c r="D2" s="17" t="inlineStr">
        <is>
          <t>BLOWN</t>
        </is>
      </c>
      <c r="E2" s="16" t="inlineStr">
        <is>
          <t>3 days past. Zero store work since Jul 29 (asset commit 1efbab8).</t>
        </is>
      </c>
    </row>
    <row r="3">
      <c r="A3" s="16" t="inlineStr">
        <is>
          <t>Aug 18</t>
        </is>
      </c>
      <c r="B3" s="16" t="inlineStr">
        <is>
          <t>Valve live Q&amp;A</t>
        </is>
      </c>
      <c r="C3" s="16" t="inlineStr">
        <is>
          <t>Free info</t>
        </is>
      </c>
      <c r="D3" s="18" t="inlineStr">
        <is>
          <t>PASSED</t>
        </is>
      </c>
      <c r="E3" s="16" t="inlineStr">
        <is>
          <t>No notes captured anywhere - mine the recording/FAQ before submitting.</t>
        </is>
      </c>
    </row>
    <row r="4">
      <c r="A4" s="16" t="inlineStr">
        <is>
          <t>Aug 24 (Mon)</t>
        </is>
      </c>
      <c r="B4" s="16" t="inlineStr">
        <is>
          <t>LAST SAFE store-page submit</t>
        </is>
      </c>
      <c r="C4" s="16" t="inlineStr">
        <is>
          <t>Review 3-5 biz days + bounce room before Aug 31</t>
        </is>
      </c>
      <c r="D4" s="17" t="inlineStr">
        <is>
          <t>CRITICAL</t>
        </is>
      </c>
      <c r="E4" s="16" t="inlineStr">
        <is>
          <t>THE deadline. Submitting today/tomorrow is the only schedule with bounce room.</t>
        </is>
      </c>
    </row>
    <row r="5">
      <c r="A5" s="16" t="inlineStr">
        <is>
          <t>Aug 28</t>
        </is>
      </c>
      <c r="B5" s="16" t="inlineStr">
        <is>
          <t>30-day Steam Direct gate clears</t>
        </is>
      </c>
      <c r="C5" s="16" t="inlineStr">
        <is>
          <t>Nothing (not binding)</t>
        </is>
      </c>
      <c r="D5" s="19" t="inlineStr">
        <is>
          <t>ON TRACK</t>
        </is>
      </c>
      <c r="E5" s="16" t="inlineStr">
        <is>
          <t>Started 2026-07-29.</t>
        </is>
      </c>
    </row>
    <row r="6">
      <c r="A6" s="16" t="inlineStr">
        <is>
          <t>Aug 31, 11:59pm PDT</t>
        </is>
      </c>
      <c r="B6" s="16" t="inlineStr">
        <is>
          <t>REGISTRATION DEADLINE (verified)</t>
        </is>
      </c>
      <c r="C6" s="16" t="inlineStr">
        <is>
          <t>The entire October fest - once per game</t>
        </is>
      </c>
      <c r="D6" s="17" t="inlineStr">
        <is>
          <t>NOT LIVE</t>
        </is>
      </c>
      <c r="E6" s="16" t="inlineStr">
        <is>
          <t>Requires store page published + public first. app/5068940 currently redirects to the Steam homepage.</t>
        </is>
      </c>
    </row>
    <row r="7">
      <c r="A7" s="16" t="inlineStr">
        <is>
          <t>Sep 7</t>
        </is>
      </c>
      <c r="B7" s="16" t="inlineStr">
        <is>
          <t>Valve pulls trailers for official compilation</t>
        </is>
      </c>
      <c r="C7" s="16" t="inlineStr">
        <is>
          <t>Free placement in front of the whole fest audience</t>
        </is>
      </c>
      <c r="D7" s="17" t="inlineStr">
        <is>
          <t>MISSING</t>
        </is>
      </c>
      <c r="E7" s="16" t="inlineStr">
        <is>
          <t>Zero trailer artifacts exist in the repo. Start capture this week.</t>
        </is>
      </c>
    </row>
    <row r="8">
      <c r="A8" s="16" t="inlineStr">
        <is>
          <t>Sep 7-21</t>
        </is>
      </c>
      <c r="B8" s="16" t="inlineStr">
        <is>
          <t>Lite-client user testing window</t>
        </is>
      </c>
      <c r="C8" s="16" t="inlineStr">
        <is>
          <t>Demo quality; the 90-second stranger question</t>
        </is>
      </c>
      <c r="D8" s="20" t="inlineStr">
        <is>
          <t>OPEN</t>
        </is>
      </c>
      <c r="E8" s="16" t="inlineStr">
        <is>
          <t>Lite client must exist by ~Sep 7. Zero scaffolding today. Recruit tester PAIRS now - scheduling problem.</t>
        </is>
      </c>
    </row>
    <row r="9">
      <c r="A9" s="16" t="inlineStr">
        <is>
          <t>Sep 21</t>
        </is>
      </c>
      <c r="B9" s="16" t="inlineStr">
        <is>
          <t>Demo build + store page in review</t>
        </is>
      </c>
      <c r="C9" s="16" t="inlineStr">
        <is>
          <t>Press Preview (the deadline that matters)</t>
        </is>
      </c>
      <c r="D9" s="20" t="inlineStr">
        <is>
          <t>OPEN</t>
        </is>
      </c>
      <c r="E9" s="16" t="inlineStr">
        <is>
          <t>Soft date but the strategy IS the press story. Demos live 2-4+ wks pre-fest earn ~2.5x fest wishlists.</t>
        </is>
      </c>
    </row>
    <row r="10">
      <c r="A10" s="16" t="inlineStr">
        <is>
          <t>Oct 5</t>
        </is>
      </c>
      <c r="B10" s="16" t="inlineStr">
        <is>
          <t>Hard backstop - all items submitted</t>
        </is>
      </c>
      <c r="C10" s="16" t="inlineStr">
        <is>
          <t>Fest eligibility</t>
        </is>
      </c>
      <c r="D10" s="18" t="inlineStr">
        <is>
          <t>INFO</t>
        </is>
      </c>
      <c r="E10" s="16" t="inlineStr">
        <is>
          <t>Do not plan against this - it forfeits press.</t>
        </is>
      </c>
    </row>
    <row r="11">
      <c r="A11" s="16" t="inlineStr">
        <is>
          <t>Oct 8, 10am PDT</t>
        </is>
      </c>
      <c r="B11" s="16" t="inlineStr">
        <is>
          <t>Press Preview opens</t>
        </is>
      </c>
      <c r="C11" s="16" t="inlineStr">
        <is>
          <t>Journalists start browsing</t>
        </is>
      </c>
      <c r="D11" s="18" t="inlineStr">
        <is>
          <t>INFO</t>
        </is>
      </c>
      <c r="E11" s="16" t="inlineStr"/>
    </row>
    <row r="12">
      <c r="A12" s="16" t="inlineStr">
        <is>
          <t>Oct 19-26</t>
        </is>
      </c>
      <c r="B12" s="16" t="inlineStr">
        <is>
          <t>THE FEST (10am PDT to 10am PDT)</t>
        </is>
      </c>
      <c r="C12" s="16" t="inlineStr">
        <is>
          <t>Wishlists</t>
        </is>
      </c>
      <c r="D12" s="18" t="inlineStr">
        <is>
          <t>INFO</t>
        </is>
      </c>
      <c r="E12" s="16" t="inlineStr">
        <is>
          <t>Fest-week ops: hand-updated ledger, matchmaking under load, griefing response.</t>
        </is>
      </c>
    </row>
    <row r="13">
      <c r="A13" s="16" t="inlineStr">
        <is>
          <t>After Oct 26</t>
        </is>
      </c>
      <c r="B13" s="16" t="inlineStr">
        <is>
          <t>Full launch</t>
        </is>
      </c>
      <c r="C13" s="16" t="inlineStr">
        <is>
          <t>Revenue; open decision #3</t>
        </is>
      </c>
      <c r="D13" s="20" t="inlineStr">
        <is>
          <t>DECIDE</t>
        </is>
      </c>
      <c r="E13" s="16" t="inlineStr">
        <is>
          <t>Fest is unreleased-games-only. Fest wishlists convert ~0.75x and cool fast - launch soon after.</t>
        </is>
      </c>
    </row>
  </sheetData>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13" customWidth="1" min="3" max="3"/>
    <col width="62" customWidth="1" min="4" max="4"/>
  </cols>
  <sheetData>
    <row r="1">
      <c r="A1" s="15" t="inlineStr">
        <is>
          <t>Task (Aug 20-24 store-page bundle)</t>
        </is>
      </c>
      <c r="B1" s="15" t="inlineStr">
        <is>
          <t>Owner</t>
        </is>
      </c>
      <c r="C1" s="15" t="inlineStr">
        <is>
          <t>Status</t>
        </is>
      </c>
      <c r="D1" s="15" t="inlineStr">
        <is>
          <t>Notes</t>
        </is>
      </c>
    </row>
    <row r="2">
      <c r="A2" s="16" t="inlineStr">
        <is>
          <t>Rebuild all 11 store assets under 'Swirl Together' + tagline</t>
        </is>
      </c>
      <c r="B2" s="16" t="inlineStr">
        <is>
          <t>Claude (agent)</t>
        </is>
      </c>
      <c r="C2" s="19" t="inlineStr">
        <is>
          <t>DONE</t>
        </is>
      </c>
      <c r="D2" s="16" t="inlineStr">
        <is>
          <t>DONE 2026-08-20, re-baked under the new name at MAX quality (dye 4096 / sim 2048). Baked from the real solver via scripts/bake-store-assets.js. Art = two dye streams meeting and swirling together. Icons reuse build/icon-master-1024.png so the Steam client icon matches the installed exe.</t>
        </is>
      </c>
    </row>
    <row r="3">
      <c r="A3" s="16" t="inlineStr">
        <is>
          <t>Capture 5+ screenshots (Steam minimum)</t>
        </is>
      </c>
      <c r="B3" s="16" t="inlineStr">
        <is>
          <t>Claude (agent)</t>
        </is>
      </c>
      <c r="C3" s="19" t="inlineStr">
        <is>
          <t>DONE</t>
        </is>
      </c>
      <c r="D3" s="16" t="inlineStr">
        <is>
          <t>DONE 2026-08-20. 5 x 1920x1080 in steam/screenshots/, baked from the real sim at max quality via scripts/bake-screenshots.js. ART-FIRST, no UI chrome: 01 group (six hands), 02 stranger (two hands meeting), 03 mutate (12 real mutations, sliced into an aligned grid so the variety reads as one canvas), 04 record (2x2 of the same swirl through time), 05 colliders (paint parting around three obstacles). No overlaid marketing text - Valve's asset rules want gameplay, and a bounce before Aug 24 is not worth a caption.</t>
        </is>
      </c>
    </row>
    <row r="4">
      <c r="A4" s="16" t="inlineStr">
        <is>
          <t>Trailer capture session - two machines, two people painting</t>
        </is>
      </c>
      <c r="B4" s="16" t="inlineStr">
        <is>
          <t>Gabriel</t>
        </is>
      </c>
      <c r="C4" s="20" t="inlineStr">
        <is>
          <t>NOT STARTED</t>
        </is>
      </c>
      <c r="D4" s="16" t="inlineStr">
        <is>
          <t>Hard date Sep 7 (compilation pull). Take Turns + dab-train parity make footage look right. Export tooling verified ready.</t>
        </is>
      </c>
    </row>
    <row r="5">
      <c r="A5" s="16" t="inlineStr">
        <is>
          <t>Store description copy - lead with the communal hook</t>
        </is>
      </c>
      <c r="B5" s="16" t="inlineStr">
        <is>
          <t>Gabriel</t>
        </is>
      </c>
      <c r="C5" s="20" t="inlineStr">
        <is>
          <t>NOT STARTED</t>
        </is>
      </c>
      <c r="D5" s="16" t="inlineStr">
        <is>
          <t>Draft a softer fallback for 'wishlists keep the canvas open' in case a reviewer objects. No fake Steam UI, no external links.</t>
        </is>
      </c>
    </row>
    <row r="6">
      <c r="A6" s="16" t="inlineStr">
        <is>
          <t>Dashboard: confirm October shows as opt-in-able</t>
        </is>
      </c>
      <c r="B6" s="16" t="inlineStr">
        <is>
          <t>Gabriel</t>
        </is>
      </c>
      <c r="C6" s="20" t="inlineStr">
        <is>
          <t>UNVERIFIED</t>
        </is>
      </c>
      <c r="D6" s="16" t="inlineStr">
        <is>
          <t>NEXT-FEST-PLAN.md:39 checkbox was never checked. 2 minutes.</t>
        </is>
      </c>
    </row>
    <row r="7">
      <c r="A7" s="16" t="inlineStr">
        <is>
          <t>Mine the Aug 18 Q&amp;A recording / FAQ</t>
        </is>
      </c>
      <c r="B7" s="16" t="inlineStr">
        <is>
          <t>Gabriel</t>
        </is>
      </c>
      <c r="C7" s="20" t="inlineStr">
        <is>
          <t>NOT STARTED</t>
        </is>
      </c>
      <c r="D7" s="16" t="inlineStr">
        <is>
          <t>Free info about this exact fest edition; check before submitting.</t>
        </is>
      </c>
    </row>
    <row r="8">
      <c r="A8" s="16" t="inlineStr">
        <is>
          <t>SUBMIT store page for review</t>
        </is>
      </c>
      <c r="B8" s="16" t="inlineStr">
        <is>
          <t>Gabriel</t>
        </is>
      </c>
      <c r="C8" s="20" t="inlineStr">
        <is>
          <t>NOT STARTED</t>
        </is>
      </c>
      <c r="D8" s="16" t="inlineStr">
        <is>
          <t>By Mon Aug 24 at the latest. Coming Soon pages need no price - the price decision does not block this.</t>
        </is>
      </c>
    </row>
    <row r="9">
      <c r="A9" s="16" t="inlineStr">
        <is>
          <t>Registration confirmed on dashboard</t>
        </is>
      </c>
      <c r="B9" s="16" t="inlineStr">
        <is>
          <t>Gabriel</t>
        </is>
      </c>
      <c r="C9" s="20" t="inlineStr">
        <is>
          <t>OPEN</t>
        </is>
      </c>
      <c r="D9" s="16" t="inlineStr">
        <is>
          <t>By Aug 31 11:59pm PDT. Blocked on page approval.</t>
        </is>
      </c>
    </row>
    <row r="10">
      <c r="A10" s="2" t="inlineStr">
        <is>
          <t>Steamworks: rename app 5068940 + store item to "Swirl Together"</t>
        </is>
      </c>
      <c r="B10" s="2" t="inlineStr">
        <is>
          <t>Gabriel</t>
        </is>
      </c>
      <c r="C10" s="21" t="inlineStr">
        <is>
          <t>OPEN</t>
        </is>
      </c>
      <c r="D10" s="2" t="inlineStr">
        <is>
          <t>NAME PIVOT 2026-08-20. Valve re-screens names — do it BEFORE submitting the page. Also set launch exe to "Swirl Together.exe" (productName changed). Code + all 11 assets already renamed.</t>
        </is>
      </c>
    </row>
  </sheetData>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4" customWidth="1" min="1" max="1"/>
    <col width="14" customWidth="1" min="2" max="2"/>
    <col width="62" customWidth="1" min="3" max="3"/>
    <col width="13" customWidth="1" min="4" max="4"/>
    <col width="13" customWidth="1" min="5" max="5"/>
    <col width="12" customWidth="1" min="6" max="6"/>
    <col width="48" customWidth="1" min="7" max="7"/>
  </cols>
  <sheetData>
    <row r="1">
      <c r="A1" s="15" t="inlineStr">
        <is>
          <t>#</t>
        </is>
      </c>
      <c r="B1" s="15" t="inlineStr">
        <is>
          <t>When</t>
        </is>
      </c>
      <c r="C1" s="15" t="inlineStr">
        <is>
          <t>Task</t>
        </is>
      </c>
      <c r="D1" s="15" t="inlineStr">
        <is>
          <t>Owner</t>
        </is>
      </c>
      <c r="E1" s="15" t="inlineStr">
        <is>
          <t>Gate</t>
        </is>
      </c>
      <c r="F1" s="15" t="inlineStr">
        <is>
          <t>Status</t>
        </is>
      </c>
      <c r="G1" s="15" t="inlineStr">
        <is>
          <t>Notes</t>
        </is>
      </c>
    </row>
    <row r="2">
      <c r="A2" s="16" t="n">
        <v>1</v>
      </c>
      <c r="B2" s="16" t="inlineStr">
        <is>
          <t>Now - Aug 24</t>
        </is>
      </c>
      <c r="C2" s="16" t="inlineStr">
        <is>
          <t>Store-page bundle: assets + screenshots + copy + dashboard checks + SUBMIT</t>
        </is>
      </c>
      <c r="D2" s="16" t="inlineStr">
        <is>
          <t>Both</t>
        </is>
      </c>
      <c r="E2" s="16" t="inlineStr">
        <is>
          <t>Registration</t>
        </is>
      </c>
      <c r="F2" s="20" t="inlineStr">
        <is>
          <t>OPEN</t>
        </is>
      </c>
      <c r="G2" s="16" t="inlineStr">
        <is>
          <t>See 'This Week' sheet for the breakdown.</t>
        </is>
      </c>
    </row>
    <row r="3">
      <c r="A3" s="16" t="n">
        <v>2</v>
      </c>
      <c r="B3" s="16" t="inlineStr">
        <is>
          <t>This week</t>
        </is>
      </c>
      <c r="C3" s="16" t="inlineStr">
        <is>
          <t>Trailer + screenshot capture session</t>
        </is>
      </c>
      <c r="D3" s="16" t="inlineStr">
        <is>
          <t>Gabriel</t>
        </is>
      </c>
      <c r="E3" s="16" t="inlineStr">
        <is>
          <t>Trailer Sep 7</t>
        </is>
      </c>
      <c r="F3" s="20" t="inlineStr">
        <is>
          <t>OPEN</t>
        </is>
      </c>
      <c r="G3" s="16" t="inlineStr">
        <is>
          <t>Two machines, two people, deployed relay.</t>
        </is>
      </c>
    </row>
    <row r="4">
      <c r="A4" s="16" t="n">
        <v>3</v>
      </c>
      <c r="B4" s="16" t="inlineStr">
        <is>
          <t>By Aug 31</t>
        </is>
      </c>
      <c r="C4" s="16" t="inlineStr">
        <is>
          <t>Registration confirmed on the dashboard</t>
        </is>
      </c>
      <c r="D4" s="16" t="inlineStr">
        <is>
          <t>Gabriel</t>
        </is>
      </c>
      <c r="E4" s="16" t="inlineStr">
        <is>
          <t>Registration</t>
        </is>
      </c>
      <c r="F4" s="20" t="inlineStr">
        <is>
          <t>OPEN</t>
        </is>
      </c>
      <c r="G4" s="16" t="inlineStr">
        <is>
          <t>Blocked on #1 approval.</t>
        </is>
      </c>
    </row>
    <row r="5">
      <c r="A5" s="16" t="n">
        <v>4</v>
      </c>
      <c r="B5" s="16" t="inlineStr">
        <is>
          <t>Weekly</t>
        </is>
      </c>
      <c r="C5" s="16" t="inlineStr">
        <is>
          <t>Ship-path verification: build + launch dist/win-unpacked, bump version (still 1.0.0), fix publish:steam placeholder, verify live relay + two-device stranger match &gt;60s apart, verify deployed web build dropped the strobe features</t>
        </is>
      </c>
      <c r="D5" s="16" t="inlineStr">
        <is>
          <t>Both</t>
        </is>
      </c>
      <c r="E5" s="16" t="inlineStr">
        <is>
          <t>All</t>
        </is>
      </c>
      <c r="F5" s="20" t="inlineStr">
        <is>
          <t>OPEN</t>
        </is>
      </c>
      <c r="G5" s="16" t="inlineStr">
        <is>
          <t>The two-device matchmaking re-verify was never done. Stale public/ silently re-ships strobe features.</t>
        </is>
      </c>
    </row>
    <row r="6">
      <c r="A6" s="16" t="n">
        <v>5</v>
      </c>
      <c r="B6" s="16" t="inlineStr">
        <is>
          <t>Sep 1-7</t>
        </is>
      </c>
      <c r="C6" s="16" t="inlineStr">
        <is>
          <t>Lite client core: build flag in build-web.js, join/paint-only UI, structural settings adoption, daily canvas, 'someone is here' presence</t>
        </is>
      </c>
      <c r="D6" s="16" t="inlineStr">
        <is>
          <t>Claude (agent)</t>
        </is>
      </c>
      <c r="E6" s="16" t="inlineStr">
        <is>
          <t>Demo Sep 21</t>
        </is>
      </c>
      <c r="F6" s="20" t="inlineStr">
        <is>
          <t>OPEN</t>
        </is>
      </c>
      <c r="G6" s="16" t="inlineStr">
        <is>
          <t>Zero scaffolding today; seams verified (index-rewrite in build-web.js:71-78, body-class pattern in 00-window-controls). Gabriel: create the DEMO APP on Steamworks (separate appid, not just a depot).</t>
        </is>
      </c>
    </row>
    <row r="7">
      <c r="A7" s="16" t="n">
        <v>6</v>
      </c>
      <c r="B7" s="16" t="inlineStr">
        <is>
          <t>Sep 1-7</t>
        </is>
      </c>
      <c r="C7" s="16" t="inlineStr">
        <is>
          <t>One relay deploy bundling: settings-lock forgery gate (~6 server + ~3 client lines) + ledger durable counter + hand-update admin path</t>
        </is>
      </c>
      <c r="D7" s="16" t="inlineStr">
        <is>
          <t>Claude (agent)</t>
        </is>
      </c>
      <c r="E7" s="16" t="inlineStr">
        <is>
          <t>Demo Sep 21</t>
        </is>
      </c>
      <c r="F7" s="20" t="inlineStr">
        <is>
          <t>OPEN</t>
        </is>
      </c>
      <c r="G7" s="16" t="inlineStr">
        <is>
          <t>Counter template already exists at party/lobby.ts:23-53. Gate survives the 'subtraction' argument - the relay serves ALL clients.</t>
        </is>
      </c>
    </row>
    <row r="8">
      <c r="A8" s="16" t="n">
        <v>7</v>
      </c>
      <c r="B8" s="16" t="inlineStr">
        <is>
          <t>Sep 1-7</t>
        </is>
      </c>
      <c r="C8" s="16" t="inlineStr">
        <is>
          <t>Fest-facing hardening: WebGL-unsupported/context-lost error screen (none exists), iGPU user-facing hint, mic-prompt fix (MP_PERF_LOCAL_KEYS), canvas-aspect answer for lite, first-run onboarding, LEAVE-A-BAD-MATCH affordance, solo-visitor waiting copy</t>
        </is>
      </c>
      <c r="D8" s="16" t="inlineStr">
        <is>
          <t>Claude (agent)</t>
        </is>
      </c>
      <c r="E8" s="16" t="inlineStr">
        <is>
          <t>Demo Sep 21</t>
        </is>
      </c>
      <c r="F8" s="20" t="inlineStr">
        <is>
          <t>OPEN</t>
        </is>
      </c>
      <c r="G8" s="16" t="inlineStr">
        <is>
          <t>Leave-a-bad-match is in NO document today - largest unmitigated risk for a 'tender' two-stranger demo.</t>
        </is>
      </c>
    </row>
    <row r="9">
      <c r="A9" s="16" t="n">
        <v>8</v>
      </c>
      <c r="B9" s="16" t="inlineStr">
        <is>
          <t>One sitting</t>
        </is>
      </c>
      <c r="C9" s="16" t="inlineStr">
        <is>
          <t>Fest-facing defaults + feel-tests: BRUSH_SPACING, wheel-as-brush-size for lite, CURL_EDGE_GATE vs the border-explosion symptom, dab-train peer-runs-hot, Mandala/kZoom lite calls</t>
        </is>
      </c>
      <c r="D9" s="16" t="inlineStr">
        <is>
          <t>Gabriel</t>
        </is>
      </c>
      <c r="E9" s="16" t="inlineStr">
        <is>
          <t>Demo Sep 21</t>
        </is>
      </c>
      <c r="F9" s="20" t="inlineStr">
        <is>
          <t>OPEN</t>
        </is>
      </c>
      <c r="G9" s="16" t="inlineStr">
        <is>
          <t>Fest visitors have fresh localStorage - default changes reach 100% of the audience. Studio-only tunables wait.</t>
        </is>
      </c>
    </row>
    <row r="10">
      <c r="A10" s="16" t="n">
        <v>9</v>
      </c>
      <c r="B10" s="16" t="inlineStr">
        <is>
          <t>Sep 7-21</t>
        </is>
      </c>
      <c r="C10" s="16" t="inlineStr">
        <is>
          <t>Lite-client user testing IN PAIRS; write the lite test script; iterate; Sep 21: demo + final page in review</t>
        </is>
      </c>
      <c r="D10" s="16" t="inlineStr">
        <is>
          <t>Both</t>
        </is>
      </c>
      <c r="E10" s="16" t="inlineStr">
        <is>
          <t>Press Preview</t>
        </is>
      </c>
      <c r="F10" s="20" t="inlineStr">
        <is>
          <t>OPEN</t>
        </is>
      </c>
      <c r="G10" s="16" t="inlineStr">
        <is>
          <t>Recruiting pairs is a scheduling problem - start now. The 8-6 full-app script is superseded; its replacement does not exist.</t>
        </is>
      </c>
    </row>
    <row r="11">
      <c r="A11" s="16" t="n">
        <v>10</v>
      </c>
      <c r="B11" s="16" t="inlineStr">
        <is>
          <t>Sep 21 - Oct 19</t>
        </is>
      </c>
      <c r="C11" s="16" t="inlineStr">
        <is>
          <t>Buffer, wishlist push, press outreach off the Oct 8 Press Preview. Safe deletions only if idle.</t>
        </is>
      </c>
      <c r="D11" s="16" t="inlineStr">
        <is>
          <t>Both</t>
        </is>
      </c>
      <c r="E11" s="16" t="inlineStr">
        <is>
          <t>Fest</t>
        </is>
      </c>
      <c r="F11" s="18" t="inlineStr">
        <is>
          <t>LATER</t>
        </is>
      </c>
      <c r="G11" s="16" t="inlineStr"/>
    </row>
    <row r="12">
      <c r="A12" s="16" t="n">
        <v>11</v>
      </c>
      <c r="B12" s="16" t="inlineStr">
        <is>
          <t>Post-fest</t>
        </is>
      </c>
      <c r="C12" s="16" t="inlineStr">
        <is>
          <t>Studio work returns: recording view + audio UI branch, recLayers cleanup, 05l handles, share-lock feature, refactor phases B-E, D3/D6/D7/P15, .fluid export, launch</t>
        </is>
      </c>
      <c r="D12" s="16" t="inlineStr">
        <is>
          <t>Both</t>
        </is>
      </c>
      <c r="E12" s="16" t="inlineStr">
        <is>
          <t>Launch</t>
        </is>
      </c>
      <c r="F12" s="18" t="inlineStr">
        <is>
          <t>POST-FEST</t>
        </is>
      </c>
      <c r="G12" s="16" t="inlineStr">
        <is>
          <t>Full detail: REFACTOR-AUDIT.md sections 8.5 and 9.4.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40" customWidth="1" min="3" max="3"/>
    <col width="34" customWidth="1" min="4" max="4"/>
    <col width="12" customWidth="1" min="5" max="5"/>
  </cols>
  <sheetData>
    <row r="1">
      <c r="A1" s="15" t="inlineStr">
        <is>
          <t>Workstream</t>
        </is>
      </c>
      <c r="B1" s="15" t="inlineStr">
        <is>
          <t>What exists today (verified)</t>
        </is>
      </c>
      <c r="C1" s="15" t="inlineStr">
        <is>
          <t>Realistic size</t>
        </is>
      </c>
      <c r="D1" s="15" t="inlineStr">
        <is>
          <t>Critical path</t>
        </is>
      </c>
      <c r="E1" s="15" t="inlineStr">
        <is>
          <t>Status</t>
        </is>
      </c>
    </row>
    <row r="2">
      <c r="A2" s="16" t="inlineStr">
        <is>
          <t>C - Store page</t>
        </is>
      </c>
      <c r="B2" s="16" t="inlineStr">
        <is>
          <t>NOT LIVE (verified). All 11 assets old-brand ('Fluid Simulation'). No copy draft. ZERO screenshots (min 5 required). No surviving icon generator.</t>
        </is>
      </c>
      <c r="C2" s="16" t="inlineStr">
        <is>
          <t>Assets 1-2 agent days; copy hours (Gabriel); screenshots need a two-painter session; submit = dashboard</t>
        </is>
      </c>
      <c r="D2" s="16" t="inlineStr">
        <is>
          <t>EVERYTHING. Registration prerequisite - nothing else matters until it's in review.</t>
        </is>
      </c>
      <c r="E2" s="17" t="inlineStr">
        <is>
          <t>CRITICAL</t>
        </is>
      </c>
    </row>
    <row r="3">
      <c r="A3" s="16" t="inlineStr">
        <is>
          <t>A - Lite client</t>
        </is>
      </c>
      <c r="B3" s="16" t="inlineStr">
        <is>
          <t>Zero scaffolding (no lite/liteMode/isLite anywhere). Favorable seams: build-web.js index rewrite, body-class gate pattern. Demo = separate Steam APP (own appid) - Gabriel dashboard action. partykit serves one static path - needs solving.</t>
        </is>
      </c>
      <c r="C3" s="16" t="inlineStr">
        <is>
          <t>Build flag + UI subtraction: days, agent-doable. Demo app + vdfs: Gabriel + agent. Daily canvas + presence: small.</t>
        </is>
      </c>
      <c r="D3" s="16" t="inlineStr">
        <is>
          <t>Must exist ~Sep 7 for the test window; final Sep 21. Second-most urgent.</t>
        </is>
      </c>
      <c r="E3" s="20" t="inlineStr">
        <is>
          <t>OPEN</t>
        </is>
      </c>
    </row>
    <row r="4">
      <c r="A4" s="16" t="inlineStr">
        <is>
          <t>B - Communal ledger</t>
        </is>
      </c>
      <c r="B4" s="16" t="inlineStr">
        <is>
          <t>Zero code. Durable-counter template exists exactly at party/lobby.ts:23-53 (lobby waiting pointer).</t>
        </is>
      </c>
      <c r="C4" s="16" t="inlineStr">
        <is>
          <t>~30-line counter + copy. Genuinely small. Copy rules answered (see Wishlists sheet).</t>
        </is>
      </c>
      <c r="D4" s="16" t="inlineStr">
        <is>
          <t>Visible in the demo by Sep 21. Hand-update habit before Oct 19.</t>
        </is>
      </c>
      <c r="E4" s="20" t="inlineStr">
        <is>
          <t>OPEN</t>
        </is>
      </c>
    </row>
    <row r="5">
      <c r="A5" s="16" t="inlineStr">
        <is>
          <t>D - Backlog triage</t>
        </is>
      </c>
      <c r="B5" s="16" t="inlineStr">
        <is>
          <t>Matchmaking fix MERGED (f084af3+784e724), probably live, never two-device verified. Dab-train parity merged; peer-runs-hot never feel-tested. Settings-lock relay forgery gap OPEN - subtraction does NOT fix the relay.</t>
        </is>
      </c>
      <c r="C5" s="16" t="inlineStr">
        <is>
          <t>Relay gate ~9 lines; live verify = an evening with two devices; feel-tests = Gabriel.</t>
        </is>
      </c>
      <c r="D5" s="16" t="inlineStr">
        <is>
          <t>Matchmaking robustness IS the product during fest week.</t>
        </is>
      </c>
      <c r="E5" s="20" t="inlineStr">
        <is>
          <t>OPEN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72" customWidth="1" min="3" max="3"/>
    <col width="12" customWidth="1" min="4" max="4"/>
  </cols>
  <sheetData>
    <row r="1">
      <c r="A1" s="15" t="inlineStr">
        <is>
          <t>Topic</t>
        </is>
      </c>
      <c r="B1" s="15" t="inlineStr">
        <is>
          <t>Verdict / target</t>
        </is>
      </c>
      <c r="C1" s="15" t="inlineStr">
        <is>
          <t>Detail (sources cited in REFACTOR-AUDIT.md 9.3)</t>
        </is>
      </c>
      <c r="D1" s="15" t="inlineStr">
        <is>
          <t>Status</t>
        </is>
      </c>
    </row>
    <row r="2">
      <c r="A2" s="16" t="inlineStr">
        <is>
          <t>Valve rules: 'wishlists keep the canvas open'</t>
        </is>
      </c>
      <c r="B2" s="16" t="inlineStr">
        <is>
          <t>Plausible-allowed</t>
        </is>
      </c>
      <c r="C2" s="16" t="inlineStr">
        <is>
          <t>No rule prohibits wishlist-linked promises; wishlist promotion is encouraged. Constraints: keep it OUT of capsule art; no fake Steam UI; no external links; keep far from review language. Draft a softer fallback before review.</t>
        </is>
      </c>
      <c r="D2" s="19" t="inlineStr">
        <is>
          <t>ANSWERED</t>
        </is>
      </c>
    </row>
    <row r="3">
      <c r="A3" s="16" t="inlineStr">
        <is>
          <t>Coming Soon page timing</t>
        </is>
      </c>
      <c r="B3" s="16" t="inlineStr">
        <is>
          <t>Live ASAP</t>
        </is>
      </c>
      <c r="C3" s="16" t="inlineStr">
        <is>
          <t>Earlier pages accrue more wishlists; the Aug 31 gate dominates anyway. No price needed to submit.</t>
        </is>
      </c>
      <c r="D3" s="20" t="inlineStr">
        <is>
          <t>OPEN</t>
        </is>
      </c>
    </row>
    <row r="4">
      <c r="A4" s="16" t="inlineStr">
        <is>
          <t>Wishlists entering the fest</t>
        </is>
      </c>
      <c r="B4" s="16" t="inlineStr">
        <is>
          <t>&gt;= 2,000 target</t>
        </is>
      </c>
      <c r="C4" s="16" t="inlineStr">
        <is>
          <t>Pre-fest momentum is the strongest fest-performance predictor (Spearman 0.825). Medians: 0-999 pre-fest -&gt; +322 gained; 1,000-9,999 -&gt; +1,006; 10,000+ -&gt; +5,215.</t>
        </is>
      </c>
      <c r="D4" s="20" t="inlineStr">
        <is>
          <t>OPEN</t>
        </is>
      </c>
    </row>
    <row r="5">
      <c r="A5" s="16" t="inlineStr">
        <is>
          <t>Demo timing vs fest wishlists</t>
        </is>
      </c>
      <c r="B5" s="16" t="inlineStr">
        <is>
          <t>Live by Sep 21</t>
        </is>
      </c>
      <c r="C5" s="16" t="inlineStr">
        <is>
          <t>Demos shipped 2-4+ weeks pre-fest earned ~2.5x more fest wishlists. Independently confirms Sep 21 as the real deadline.</t>
        </is>
      </c>
      <c r="D5" s="20" t="inlineStr">
        <is>
          <t>OPEN</t>
        </is>
      </c>
    </row>
    <row r="6">
      <c r="A6" s="16" t="inlineStr">
        <is>
          <t>During fest week</t>
        </is>
      </c>
      <c r="B6" s="16" t="inlineStr">
        <is>
          <t>Engagement drives rank</t>
        </is>
      </c>
      <c r="C6" s="16" t="inlineStr">
        <is>
          <t>Rankings feed on demo playtime, pre-existing velocity, streamer pickup. Healthy demo-&gt;wishlist conversion ~20% of players. Two-stranger pairing IS the engagement mechanic.</t>
        </is>
      </c>
      <c r="D6" s="18" t="inlineStr">
        <is>
          <t>INFO</t>
        </is>
      </c>
    </row>
    <row r="7">
      <c r="A7" s="16" t="inlineStr">
        <is>
          <t>Launch-visibility goal</t>
        </is>
      </c>
      <c r="B7" s="16" t="inlineStr">
        <is>
          <t>~7,000 wishlists</t>
        </is>
      </c>
      <c r="C7" s="16" t="inlineStr">
        <is>
          <t>~Popular Upcoming threshold, which feeds New &amp; Trending at launch. Fest tiers: &lt;1,000 gained = bronze; 1,000-6,999 silver; 7,000-9,999 gold; 10k+ diamond.</t>
        </is>
      </c>
      <c r="D7" s="18" t="inlineStr">
        <is>
          <t>INFO</t>
        </is>
      </c>
    </row>
    <row r="8">
      <c r="A8" s="16" t="inlineStr">
        <is>
          <t>Post-fest decay</t>
        </is>
      </c>
      <c r="B8" s="16" t="inlineStr">
        <is>
          <t>Launch soon after</t>
        </is>
      </c>
      <c r="C8" s="16" t="inlineStr">
        <is>
          <t>Fest-acquired wishlists convert ~0.75x normal and cool fast - consistent with fest-then-launch.</t>
        </is>
      </c>
      <c r="D8" s="20" t="inlineStr">
        <is>
          <t>DECIDE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78" customWidth="1" min="3" max="3"/>
    <col width="16" customWidth="1" min="4" max="4"/>
  </cols>
  <sheetData>
    <row r="1">
      <c r="A1" s="15" t="inlineStr">
        <is>
          <t>#</t>
        </is>
      </c>
      <c r="B1" s="15" t="inlineStr">
        <is>
          <t>Decision</t>
        </is>
      </c>
      <c r="C1" s="15" t="inlineStr">
        <is>
          <t>Detail</t>
        </is>
      </c>
      <c r="D1" s="15" t="inlineStr">
        <is>
          <t>Origin</t>
        </is>
      </c>
    </row>
    <row r="2">
      <c r="A2" s="16" t="n">
        <v>1</v>
      </c>
      <c r="B2" s="16" t="inlineStr">
        <is>
          <t>Price</t>
        </is>
      </c>
      <c r="C2" s="16" t="inlineStr">
        <is>
          <t>$9.99 vs $14.99. Mechanic argues upward (each purchase more visibly generous). Does NOT block the Coming Soon page.</t>
        </is>
      </c>
      <c r="D2" s="16" t="inlineStr">
        <is>
          <t>Carried from fest plan</t>
        </is>
      </c>
    </row>
    <row r="3">
      <c r="A3" s="16" t="n">
        <v>2</v>
      </c>
      <c r="B3" s="16" t="inlineStr">
        <is>
          <t>Ledger daily budget</t>
        </is>
      </c>
      <c r="C3" s="16" t="inlineStr">
        <is>
          <t>Honest number (~$93/day) vs symbolic. Transparent is on-brand and vulnerable.</t>
        </is>
      </c>
      <c r="D3" s="16" t="inlineStr">
        <is>
          <t>Carried</t>
        </is>
      </c>
    </row>
    <row r="4">
      <c r="A4" s="16" t="n">
        <v>3</v>
      </c>
      <c r="B4" s="16" t="inlineStr">
        <is>
          <t>Launch date</t>
        </is>
      </c>
      <c r="C4" s="16" t="inlineStr">
        <is>
          <t>Must land after Oct 26 (fest is unreleased-only). Benchmarks argue soon-after while wishlists are warm.</t>
        </is>
      </c>
      <c r="D4" s="16" t="inlineStr">
        <is>
          <t>Carried</t>
        </is>
      </c>
    </row>
    <row r="5">
      <c r="A5" s="16" t="n">
        <v>4</v>
      </c>
      <c r="B5" s="16" t="inlineStr">
        <is>
          <t>Week-7 checkpoint</t>
        </is>
      </c>
      <c r="C5" s="16" t="inlineStr">
        <is>
          <t>Put it on the calendar.</t>
        </is>
      </c>
      <c r="D5" s="16" t="inlineStr">
        <is>
          <t>Carried</t>
        </is>
      </c>
    </row>
    <row r="6">
      <c r="A6" s="16" t="n">
        <v>5</v>
      </c>
      <c r="B6" s="16" t="inlineStr">
        <is>
          <t>Lite scope</t>
        </is>
      </c>
      <c r="C6" s="16" t="inlineStr">
        <is>
          <t>Does Mutate ship in lite (kZoom's randomization reads as 'broken' to cold visitors - rename / pull from mut scope)? Painted colliders don't replicate to peers. Which hotkeys survive?</t>
        </is>
      </c>
      <c r="D6" s="16" t="inlineStr">
        <is>
          <t>NEW</t>
        </is>
      </c>
    </row>
    <row r="7">
      <c r="A7" s="16" t="n">
        <v>6</v>
      </c>
      <c r="B7" s="16" t="inlineStr">
        <is>
          <t>Fixed canvas aspect in lite</t>
        </is>
      </c>
      <c r="C7" s="16" t="inlineStr">
        <is>
          <t>Cheapest fix for the force-direction skew on arbitrary monitors.</t>
        </is>
      </c>
      <c r="D7" s="16" t="inlineStr">
        <is>
          <t>NEW</t>
        </is>
      </c>
    </row>
    <row r="8">
      <c r="A8" s="16" t="n">
        <v>7</v>
      </c>
      <c r="B8" s="16" t="inlineStr">
        <is>
          <t>Griefing / leave-a-match policy</t>
        </is>
      </c>
      <c r="C8" s="16" t="inlineStr">
        <is>
          <t>How much of the leave-a-bad-match affordance ships for the fest.</t>
        </is>
      </c>
      <c r="D8" s="16" t="inlineStr">
        <is>
          <t>NEW</t>
        </is>
      </c>
    </row>
    <row r="9">
      <c r="A9" s="16" t="n">
        <v>8</v>
      </c>
      <c r="B9" s="16" t="inlineStr">
        <is>
          <t>Ledger fallback phrasing</t>
        </is>
      </c>
      <c r="C9" s="16" t="inlineStr">
        <is>
          <t>If Valve review objects to 'keep the canvas open'.</t>
        </is>
      </c>
      <c r="D9" s="16" t="inlineStr">
        <is>
          <t>NEW</t>
        </is>
      </c>
    </row>
    <row r="10">
      <c r="A10" s="16" t="n">
        <v>9</v>
      </c>
      <c r="B10" s="16" t="inlineStr">
        <is>
          <t>Create the demo app on Steamworks</t>
        </is>
      </c>
      <c r="C10" s="16" t="inlineStr">
        <is>
          <t>Separate appid - dashboard action, needed before any demo depot work.</t>
        </is>
      </c>
      <c r="D10" s="16" t="inlineStr">
        <is>
          <t>NEW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96" customWidth="1" min="2" max="2"/>
  </cols>
  <sheetData>
    <row r="1">
      <c r="A1" s="15" t="inlineStr">
        <is>
          <t>Doc</t>
        </is>
      </c>
      <c r="B1" s="15" t="inlineStr">
        <is>
          <t>What's wrong / what to do</t>
        </is>
      </c>
    </row>
    <row r="2">
      <c r="A2" s="16" t="inlineStr">
        <is>
          <t>NEXT-FEST-PLAN.md</t>
        </is>
      </c>
      <c r="B2" s="16" t="inlineStr">
        <is>
          <t>Superseded for sequencing by REFACTOR-AUDIT.md section 9. Its own Aug-17 milestone silently blew; 'icon generator in scratchpad' is fictional; demo needs a separate APP not depot; 'subtraction beats gating' wrong for the relay.</t>
        </is>
      </c>
    </row>
    <row r="3">
      <c r="A3" s="16" t="inlineStr">
        <is>
          <t>TODO-NEXT.md</t>
        </is>
      </c>
      <c r="B3" s="16" t="inlineStr">
        <is>
          <t>Stale statuses (layers branch IS merged); ranks studio items above fest work with zero fest entries. Line 112's audio range (~2935-3530) is WRONG - real range 3580-4191.</t>
        </is>
      </c>
    </row>
    <row r="4">
      <c r="A4" s="16" t="inlineStr">
        <is>
          <t>TASKS-FINAL.md</t>
        </is>
      </c>
      <c r="B4" s="16" t="inlineStr">
        <is>
          <t>P15-1 'awaiting merge' stale (merged, off by default). No fest awareness; .fluid IMPORTANT flag is a post-fest gate - protect September runway.</t>
        </is>
      </c>
    </row>
    <row r="5">
      <c r="A5" s="16" t="inlineStr">
        <is>
          <t>UX-fixes.md / UX-fixes-plan.md</t>
        </is>
      </c>
      <c r="B5" s="16" t="inlineStr">
        <is>
          <t>Ferrofluid (6.2) shown open - CUT 2026-08-16. Mark both.</t>
        </is>
      </c>
    </row>
    <row r="6">
      <c r="A6" s="16" t="inlineStr">
        <is>
          <t>TODO.md:90</t>
        </is>
      </c>
      <c r="B6" s="16" t="inlineStr">
        <is>
          <t>'Video export bakes in the red mask film' is FALSE (fixed via window.__exporting). Strike before someone re-fixes it.</t>
        </is>
      </c>
    </row>
    <row r="7">
      <c r="A7" s="16" t="inlineStr">
        <is>
          <t>8-6-todo-pre-test.md</t>
        </is>
      </c>
      <c r="B7" s="16" t="inlineStr">
        <is>
          <t>Its 'zero blockers' certified the FULL app; the lite client has never been cold-tested. Replacement lite test script does not exist yet - write it in Master Plan #9.</t>
        </is>
      </c>
    </row>
    <row r="8">
      <c r="A8" s="16" t="inlineStr">
        <is>
          <t>Old memory: 'release Sep 1'</t>
        </is>
      </c>
      <c r="B8" s="16" t="inlineStr">
        <is>
          <t>Dead - incompatible with unreleased-only Next Fest. Already corrected in session memory.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2026-08-20T06:05:48Z</dcterms:created>
  <dcterms:modified xsi:type="dcterms:W3CDTF">2026-08-20T07:55:03Z</dcterms:modified>
</cp:coreProperties>
</file>